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c3899d8ea973a4/Documents/Learning/OMSA/ISYE6740/final/submission/code/"/>
    </mc:Choice>
  </mc:AlternateContent>
  <xr:revisionPtr revIDLastSave="0" documentId="8_{9D491B21-A818-421F-BB2B-80E50BB67110}" xr6:coauthVersionLast="45" xr6:coauthVersionMax="45" xr10:uidLastSave="{00000000-0000-0000-0000-000000000000}"/>
  <bookViews>
    <workbookView xWindow="29580" yWindow="780" windowWidth="21600" windowHeight="11385" xr2:uid="{15D744F7-5765-4E9D-8DA6-267D893CD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4" i="1"/>
  <c r="I5" i="1"/>
  <c r="I6" i="1"/>
  <c r="I7" i="1"/>
  <c r="I8" i="1"/>
  <c r="I4" i="1"/>
  <c r="H5" i="1"/>
  <c r="H6" i="1"/>
  <c r="H7" i="1"/>
  <c r="H8" i="1"/>
  <c r="H4" i="1"/>
  <c r="D14" i="1"/>
  <c r="C14" i="1"/>
  <c r="D13" i="1"/>
  <c r="C13" i="1"/>
  <c r="G5" i="1"/>
  <c r="G6" i="1"/>
  <c r="G7" i="1"/>
  <c r="G8" i="1"/>
  <c r="G4" i="1"/>
  <c r="F5" i="1"/>
  <c r="F6" i="1"/>
  <c r="F7" i="1"/>
  <c r="F8" i="1"/>
  <c r="F4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<sst xmlns="http://schemas.openxmlformats.org/spreadsheetml/2006/main" count="18" uniqueCount="14">
  <si>
    <t>Data</t>
  </si>
  <si>
    <t>i</t>
  </si>
  <si>
    <t>x</t>
  </si>
  <si>
    <t>y</t>
  </si>
  <si>
    <t>iteration</t>
  </si>
  <si>
    <t>A</t>
  </si>
  <si>
    <t>B</t>
  </si>
  <si>
    <t>iter 1 assignment</t>
  </si>
  <si>
    <t>centroid</t>
  </si>
  <si>
    <t>distance from A_1</t>
  </si>
  <si>
    <t>distance from B_1</t>
  </si>
  <si>
    <t>distance from A_0</t>
  </si>
  <si>
    <t>distance from B_0</t>
  </si>
  <si>
    <t>iter 2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</si>
</sst>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75A1-ED7B-4C09-9578-310223BB18BA}">
  <dimension ref="A1:J14"/>
  <sheetViews>
    <sheetView tabSelected="1" workbookViewId="0">
      <selection activeCell="K8" sqref="K8"/>
    </sheetView>
  </sheetViews>
  <sheetFormatPr defaultRowHeight="15" x14ac:dyDescent="0.25"/>
  <cols>
    <col min="2" max="2" width="8.7109375" customWidth="1"/>
    <col min="5" max="5" width="11.5703125" customWidth="1"/>
  </cols>
  <sheetData>
    <row r="1" spans="1:10" x14ac:dyDescent="0.25">
      <c r="B1" t="s">
        <v>0</v>
      </c>
    </row>
    <row r="3" spans="1:10" ht="45" x14ac:dyDescent="0.25">
      <c r="B3" s="2" t="s">
        <v>1</v>
      </c>
      <c r="C3" s="2" t="s">
        <v>2</v>
      </c>
      <c r="D3" s="2" t="s">
        <v>3</v>
      </c>
      <c r="E3" s="2" t="s">
        <v>11</v>
      </c>
      <c r="F3" s="2" t="s">
        <v>12</v>
      </c>
      <c r="G3" s="2" t="s">
        <v>7</v>
      </c>
      <c r="H3" s="2" t="s">
        <v>9</v>
      </c>
      <c r="I3" s="2" t="s">
        <v>10</v>
      </c>
      <c r="J3" s="2" t="s">
        <v>13</v>
      </c>
    </row>
    <row r="4" spans="1:10" x14ac:dyDescent="0.25">
      <c r="B4">
        <v>1</v>
      </c>
      <c r="C4">
        <v>2</v>
      </c>
      <c r="D4">
        <v>2</v>
      </c>
      <c r="E4">
        <f>ABS(C4-$C$11)+ABS(D4-$D$11)</f>
        <v>8</v>
      </c>
      <c r="F4">
        <f>ABS(C4-$C$12)+ABS(D4-$D$12)</f>
        <v>1</v>
      </c>
      <c r="G4" t="str">
        <f>IF(E4&lt;F4,"A","B")</f>
        <v>B</v>
      </c>
      <c r="H4">
        <f>ABS(C4-$C$13)+ABS(D4-$D$13)</f>
        <v>6.5</v>
      </c>
      <c r="I4">
        <f>ABS(C4-$C$14)+ABS(D4-$D$14)</f>
        <v>1.3333333333333335</v>
      </c>
      <c r="J4" t="str">
        <f>IF(H4&lt;I4,"A","B")</f>
        <v>B</v>
      </c>
    </row>
    <row r="5" spans="1:10" x14ac:dyDescent="0.25">
      <c r="B5">
        <v>2</v>
      </c>
      <c r="C5">
        <v>-1</v>
      </c>
      <c r="D5">
        <v>1</v>
      </c>
      <c r="E5">
        <f t="shared" ref="E5:E8" si="0">ABS(C5-$C$11)+ABS(D5-$D$11)</f>
        <v>4</v>
      </c>
      <c r="F5">
        <f t="shared" ref="F5:F8" si="1">ABS(C5-$C$12)+ABS(D5-$D$12)</f>
        <v>3</v>
      </c>
      <c r="G5" t="str">
        <f t="shared" ref="G5:G8" si="2">IF(E5&lt;F5,"A","B")</f>
        <v>B</v>
      </c>
      <c r="H5">
        <f t="shared" ref="H5:H8" si="3">ABS(C5-$C$13)+ABS(D5-$D$13)</f>
        <v>2.5</v>
      </c>
      <c r="I5">
        <f t="shared" ref="I5:I8" si="4">ABS(C5-$C$14)+ABS(D5-$D$14)</f>
        <v>2.6666666666666661</v>
      </c>
      <c r="J5" t="str">
        <f t="shared" ref="J5:J8" si="5">IF(H5&lt;I5,"A","B")</f>
        <v>A</v>
      </c>
    </row>
    <row r="6" spans="1:10" x14ac:dyDescent="0.25">
      <c r="B6">
        <v>3</v>
      </c>
      <c r="C6">
        <v>3</v>
      </c>
      <c r="D6">
        <v>1</v>
      </c>
      <c r="E6">
        <f t="shared" si="0"/>
        <v>8</v>
      </c>
      <c r="F6">
        <f t="shared" si="1"/>
        <v>1</v>
      </c>
      <c r="G6" t="str">
        <f t="shared" si="2"/>
        <v>B</v>
      </c>
      <c r="H6">
        <f t="shared" si="3"/>
        <v>6.5</v>
      </c>
      <c r="I6">
        <f t="shared" si="4"/>
        <v>2</v>
      </c>
      <c r="J6" t="str">
        <f t="shared" si="5"/>
        <v>B</v>
      </c>
    </row>
    <row r="7" spans="1:10" x14ac:dyDescent="0.25">
      <c r="B7">
        <v>4</v>
      </c>
      <c r="C7">
        <v>0</v>
      </c>
      <c r="D7">
        <v>-1</v>
      </c>
      <c r="E7">
        <f t="shared" si="0"/>
        <v>3</v>
      </c>
      <c r="F7">
        <f t="shared" si="1"/>
        <v>4</v>
      </c>
      <c r="G7" t="str">
        <f t="shared" si="2"/>
        <v>A</v>
      </c>
      <c r="H7">
        <f t="shared" si="3"/>
        <v>1.5</v>
      </c>
      <c r="I7">
        <f t="shared" si="4"/>
        <v>3.6666666666666661</v>
      </c>
      <c r="J7" t="str">
        <f t="shared" si="5"/>
        <v>A</v>
      </c>
    </row>
    <row r="8" spans="1:10" x14ac:dyDescent="0.25">
      <c r="B8">
        <v>5</v>
      </c>
      <c r="C8">
        <v>-2</v>
      </c>
      <c r="D8">
        <v>-2</v>
      </c>
      <c r="E8">
        <f t="shared" si="0"/>
        <v>2</v>
      </c>
      <c r="F8">
        <f t="shared" si="1"/>
        <v>7</v>
      </c>
      <c r="G8" t="str">
        <f t="shared" si="2"/>
        <v>A</v>
      </c>
      <c r="H8">
        <f t="shared" si="3"/>
        <v>1.5</v>
      </c>
      <c r="I8">
        <f t="shared" si="4"/>
        <v>6.6666666666666661</v>
      </c>
      <c r="J8" t="str">
        <f t="shared" si="5"/>
        <v>A</v>
      </c>
    </row>
    <row r="10" spans="1:10" x14ac:dyDescent="0.25">
      <c r="A10" s="1" t="s">
        <v>4</v>
      </c>
      <c r="B10" s="1" t="s">
        <v>8</v>
      </c>
      <c r="C10" s="1" t="s">
        <v>2</v>
      </c>
      <c r="D10" s="1" t="s">
        <v>3</v>
      </c>
    </row>
    <row r="11" spans="1:10" x14ac:dyDescent="0.25">
      <c r="A11">
        <v>0</v>
      </c>
      <c r="B11" t="s">
        <v>5</v>
      </c>
      <c r="C11">
        <v>-3</v>
      </c>
      <c r="D11">
        <v>-1</v>
      </c>
    </row>
    <row r="12" spans="1:10" x14ac:dyDescent="0.25">
      <c r="A12">
        <v>0</v>
      </c>
      <c r="B12" t="s">
        <v>6</v>
      </c>
      <c r="C12">
        <v>2</v>
      </c>
      <c r="D12">
        <v>1</v>
      </c>
    </row>
    <row r="13" spans="1:10" x14ac:dyDescent="0.25">
      <c r="A13">
        <v>1</v>
      </c>
      <c r="B13" t="s">
        <v>5</v>
      </c>
      <c r="C13">
        <f>AVERAGEIF(G4:G8,"A",C4:C8)</f>
        <v>-1</v>
      </c>
      <c r="D13">
        <f>AVERAGEIF(G4:G8,"A",D4:D8)</f>
        <v>-1.5</v>
      </c>
    </row>
    <row r="14" spans="1:10" x14ac:dyDescent="0.25">
      <c r="A14">
        <v>1</v>
      </c>
      <c r="B14" t="s">
        <v>6</v>
      </c>
      <c r="C14">
        <f>AVERAGEIF(G4:G8,"B",C4:C8)</f>
        <v>1.3333333333333333</v>
      </c>
      <c r="D14">
        <f>AVERAGEIF(G4:G8,"B",D4:D8)</f>
        <v>1.3333333333333333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Wang</dc:creator>
  <cp:lastModifiedBy>Arthur Wang</cp:lastModifiedBy>
  <dcterms:created xsi:type="dcterms:W3CDTF">2020-04-23T04:01:31Z</dcterms:created>
  <dcterms:modified xsi:type="dcterms:W3CDTF">2020-04-23T04:23:58Z</dcterms:modified>
</cp:coreProperties>
</file>